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515" yWindow="0" windowWidth="32190" windowHeight="23385" tabRatio="500" firstSheet="0" activeTab="0" autoFilterDateGrouping="1"/>
  </bookViews>
  <sheets>
    <sheet xmlns:r="http://schemas.openxmlformats.org/officeDocument/2006/relationships" name="BOM" sheetId="1" state="visible" r:id="rId1"/>
  </sheets>
  <definedNames>
    <definedName name="_xlnm._FilterDatabase" localSheetId="0" hidden="1">'BOM'!$B$13:$L$73</definedName>
    <definedName name="_xlnm.Print_Titles" localSheetId="0">'BOM'!$13:$13</definedName>
    <definedName name="_xlnm.Print_Area" localSheetId="0">'BOM'!$A$1:$L$79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&quot; kr&quot;;\-#,##0.00&quot; kr&quot;;\–"/>
    <numFmt numFmtId="165" formatCode="dd\.mm\.yyyy"/>
    <numFmt numFmtId="166" formatCode="0&quot; sett&quot;"/>
  </numFmts>
  <fonts count="19">
    <font>
      <name val="Calibri"/>
      <charset val="1"/>
      <family val="2"/>
      <color theme="1"/>
      <sz val="11"/>
    </font>
    <font>
      <name val="Arial"/>
      <charset val="1"/>
      <b val="1"/>
      <color rgb="FF1F2A33"/>
      <sz val="22"/>
    </font>
    <font>
      <name val="Arial"/>
      <charset val="1"/>
      <color rgb="FF7A8793"/>
      <sz val="11"/>
    </font>
    <font>
      <name val="Arial"/>
      <charset val="1"/>
      <b val="1"/>
      <color rgb="FF7A8793"/>
      <sz val="8"/>
    </font>
    <font>
      <name val="Arial"/>
      <charset val="1"/>
      <color rgb="FF7A8793"/>
      <sz val="9"/>
    </font>
    <font>
      <name val="Arial"/>
      <charset val="1"/>
      <i val="1"/>
      <color rgb="FF7A8793"/>
      <sz val="8"/>
    </font>
    <font>
      <name val="Arial"/>
      <charset val="1"/>
      <b val="1"/>
      <color rgb="FFFFFFFF"/>
      <sz val="9"/>
    </font>
    <font>
      <name val="Arial"/>
      <charset val="1"/>
      <color rgb="FF7A8793"/>
      <sz val="10"/>
    </font>
    <font>
      <name val="Arial"/>
      <charset val="1"/>
      <color rgb="FF1F4E9A"/>
      <sz val="10"/>
    </font>
    <font>
      <name val="Arial"/>
      <charset val="1"/>
      <color rgb="FF1F2A33"/>
      <sz val="10"/>
    </font>
    <font>
      <name val="Arial"/>
      <charset val="1"/>
      <b val="1"/>
      <color rgb="FF1F2A33"/>
      <sz val="10"/>
    </font>
    <font>
      <name val="Arial"/>
      <charset val="1"/>
      <b val="1"/>
      <color rgb="FF2E5E73"/>
      <sz val="16"/>
    </font>
    <font>
      <name val="Arial"/>
      <charset val="1"/>
      <b val="1"/>
      <color rgb="FF1F2A33"/>
      <sz val="16"/>
    </font>
    <font>
      <name val="Arial"/>
      <charset val="1"/>
      <b val="1"/>
      <color rgb="FF2E5E73"/>
      <sz val="11"/>
    </font>
    <font>
      <name val="Arial"/>
      <family val="2"/>
      <color rgb="FF1F4E9A"/>
      <sz val="10"/>
    </font>
    <font>
      <name val="Arial"/>
      <family val="2"/>
      <color rgb="FF1F2A33"/>
      <sz val="10"/>
    </font>
    <font>
      <name val="Arial"/>
      <family val="2"/>
      <b val="1"/>
      <color rgb="FF1F2A33"/>
      <sz val="10"/>
    </font>
    <font>
      <name val="Arial"/>
      <family val="2"/>
      <color rgb="FF1F4E9A"/>
      <sz val="11"/>
    </font>
    <font>
      <name val="Arial"/>
      <family val="2"/>
      <b val="1"/>
      <color rgb="FF7A8793"/>
      <sz val="8"/>
    </font>
  </fonts>
  <fills count="5">
    <fill>
      <patternFill/>
    </fill>
    <fill>
      <patternFill patternType="gray125"/>
    </fill>
    <fill>
      <patternFill patternType="solid">
        <fgColor rgb="FFF6F8FB"/>
        <bgColor rgb="FFFFFFFF"/>
      </patternFill>
    </fill>
    <fill>
      <patternFill patternType="solid">
        <fgColor rgb="FF24343F"/>
        <bgColor rgb="FF1F2A33"/>
      </patternFill>
    </fill>
    <fill>
      <patternFill patternType="solid">
        <fgColor rgb="FFE8F0F3"/>
        <bgColor rgb="FFE3E7EB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E5E73"/>
      </bottom>
      <diagonal/>
    </border>
    <border>
      <left/>
      <right/>
      <top/>
      <bottom style="thin">
        <color rgb="FFC9D1D8"/>
      </bottom>
      <diagonal/>
    </border>
    <border>
      <left/>
      <right/>
      <top/>
      <bottom style="thin">
        <color rgb="FFE3E7EB"/>
      </bottom>
      <diagonal/>
    </border>
    <border>
      <left/>
      <right/>
      <top style="thin">
        <color rgb="FFC9D1D8"/>
      </top>
      <bottom/>
      <diagonal/>
    </border>
    <border>
      <left/>
      <right/>
      <top style="medium">
        <color rgb="FF2E5E73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3" fillId="4" borderId="5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" fontId="12" fillId="0" borderId="0" applyAlignment="1" pivotButton="0" quotePrefix="0" xfId="0">
      <alignment horizontal="left" vertical="center" indent="1"/>
    </xf>
    <xf numFmtId="164" fontId="11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right" vertical="center" indent="1"/>
    </xf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left" inden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 vertical="center" indent="1"/>
    </xf>
    <xf numFmtId="0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right" vertical="center" indent="1"/>
    </xf>
    <xf numFmtId="0" fontId="7" fillId="0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left" vertical="center" indent="1"/>
    </xf>
    <xf numFmtId="0" fontId="8" fillId="2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164" fontId="8" fillId="2" borderId="3" applyAlignment="1" pivotButton="0" quotePrefix="0" xfId="0">
      <alignment horizontal="right" vertical="center" indent="1"/>
    </xf>
    <xf numFmtId="164" fontId="10" fillId="0" borderId="3" applyAlignment="1" pivotButton="0" quotePrefix="0" xfId="0">
      <alignment horizontal="right" vertical="center" indent="1"/>
    </xf>
    <xf numFmtId="164" fontId="9" fillId="0" borderId="0" applyAlignment="1" pivotButton="0" quotePrefix="0" xfId="0">
      <alignment horizontal="right" vertical="center" indent="1"/>
    </xf>
    <xf numFmtId="164" fontId="10" fillId="0" borderId="4" applyAlignment="1" pivotButton="0" quotePrefix="0" xfId="0">
      <alignment horizontal="right" vertical="center" indent="1"/>
    </xf>
    <xf numFmtId="164" fontId="13" fillId="4" borderId="5" applyAlignment="1" pivotButton="0" quotePrefix="0" xfId="0">
      <alignment horizontal="right" vertical="center" indent="1"/>
    </xf>
    <xf numFmtId="0" fontId="14" fillId="2" borderId="3" applyAlignment="1" pivotButton="0" quotePrefix="0" xfId="0">
      <alignment horizontal="left" vertical="center" indent="1"/>
    </xf>
    <xf numFmtId="0" fontId="14" fillId="2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164" fontId="14" fillId="2" borderId="3" applyAlignment="1" pivotButton="0" quotePrefix="0" xfId="0">
      <alignment horizontal="right" vertical="center" indent="1"/>
    </xf>
    <xf numFmtId="164" fontId="16" fillId="0" borderId="3" applyAlignment="1" pivotButton="0" quotePrefix="0" xfId="0">
      <alignment horizontal="right" vertical="center" indent="1"/>
    </xf>
    <xf numFmtId="0" fontId="17" fillId="2" borderId="2" applyAlignment="1" pivotButton="0" quotePrefix="0" xfId="0">
      <alignment horizontal="left" vertical="center" indent="1"/>
    </xf>
    <xf numFmtId="165" fontId="17" fillId="2" borderId="2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left" indent="1"/>
    </xf>
    <xf numFmtId="166" fontId="17" fillId="2" borderId="2" applyAlignment="1" pivotButton="0" quotePrefix="0" xfId="0">
      <alignment horizontal="left" vertical="center" indent="1"/>
    </xf>
    <xf numFmtId="9" fontId="17" fillId="2" borderId="2" applyAlignment="1" pivotButton="0" quotePrefix="0" xfId="0">
      <alignment horizontal="left" vertical="center" indent="1"/>
    </xf>
    <xf numFmtId="164" fontId="17" fillId="2" borderId="2" applyAlignment="1" pivotButton="0" quotePrefix="0" xfId="0">
      <alignment horizontal="left" vertical="center" indent="1"/>
    </xf>
    <xf numFmtId="0" fontId="0" fillId="0" borderId="2" pivotButton="0" quotePrefix="0" xfId="0"/>
    <xf numFmtId="165" fontId="17" fillId="2" borderId="2" applyAlignment="1" pivotButton="0" quotePrefix="0" xfId="0">
      <alignment horizontal="left" vertical="center" indent="1"/>
    </xf>
    <xf numFmtId="166" fontId="17" fillId="2" borderId="2" applyAlignment="1" pivotButton="0" quotePrefix="0" xfId="0">
      <alignment horizontal="left" vertical="center" indent="1"/>
    </xf>
    <xf numFmtId="9" fontId="17" fillId="2" borderId="2" applyAlignment="1" pivotButton="0" quotePrefix="0" xfId="0">
      <alignment horizontal="left" vertical="center" indent="1"/>
    </xf>
    <xf numFmtId="164" fontId="14" fillId="2" borderId="3" applyAlignment="1" pivotButton="0" quotePrefix="0" xfId="0">
      <alignment horizontal="right" vertical="center" indent="1"/>
    </xf>
    <xf numFmtId="164" fontId="16" fillId="0" borderId="3" applyAlignment="1" pivotButton="0" quotePrefix="0" xfId="0">
      <alignment horizontal="right" vertical="center" indent="1"/>
    </xf>
    <xf numFmtId="164" fontId="8" fillId="2" borderId="3" applyAlignment="1" pivotButton="0" quotePrefix="0" xfId="0">
      <alignment horizontal="right" vertical="center" indent="1"/>
    </xf>
    <xf numFmtId="164" fontId="10" fillId="0" borderId="3" applyAlignment="1" pivotButton="0" quotePrefix="0" xfId="0">
      <alignment horizontal="right" vertical="center" indent="1"/>
    </xf>
    <xf numFmtId="0" fontId="0" fillId="0" borderId="4" pivotButton="0" quotePrefix="0" xfId="0"/>
    <xf numFmtId="164" fontId="10" fillId="0" borderId="4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left" vertical="center" indent="1"/>
    </xf>
    <xf numFmtId="164" fontId="9" fillId="0" borderId="0" applyAlignment="1" pivotButton="0" quotePrefix="0" xfId="0">
      <alignment horizontal="right" vertical="center" indent="1"/>
    </xf>
    <xf numFmtId="164" fontId="13" fillId="4" borderId="5" applyAlignment="1" pivotButton="0" quotePrefix="0" xfId="0">
      <alignment horizontal="right" vertical="center" indent="1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793"/>
      <rgbColor rgb="FF9999FF"/>
      <rgbColor rgb="FF993366"/>
      <rgbColor rgb="FFF6F8FB"/>
      <rgbColor rgb="FFE8F0F3"/>
      <rgbColor rgb="FF660066"/>
      <rgbColor rgb="FFFF8080"/>
      <rgbColor rgb="FF0066CC"/>
      <rgbColor rgb="FFC9D1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E5E73"/>
      <rgbColor rgb="FF969696"/>
      <rgbColor rgb="FF003366"/>
      <rgbColor rgb="FF339966"/>
      <rgbColor rgb="FF003300"/>
      <rgbColor rgb="FF1F2A33"/>
      <rgbColor rgb="FF993300"/>
      <rgbColor rgb="FF993366"/>
      <rgbColor rgb="FF1F4E9A"/>
      <rgbColor rgb="FF2434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E73"/>
    <outlinePr summaryBelow="1" summaryRight="1"/>
    <pageSetUpPr fitToPage="1"/>
  </sheetPr>
  <dimension ref="B2:L77"/>
  <sheetViews>
    <sheetView showGridLines="0" tabSelected="1" zoomScale="110" zoomScaleNormal="110" workbookViewId="0">
      <pane xSplit="3" ySplit="13" topLeftCell="D14" activePane="bottomRight" state="frozen"/>
      <selection pane="topRight" activeCell="D1" sqref="D1"/>
      <selection pane="bottomLeft" activeCell="A14" sqref="A14"/>
      <selection pane="bottomRight" activeCell="L25" sqref="L25"/>
    </sheetView>
  </sheetViews>
  <sheetFormatPr baseColWidth="8" defaultColWidth="8.7109375" defaultRowHeight="15"/>
  <cols>
    <col width="2.42578125" customWidth="1" min="1" max="1"/>
    <col width="5" customWidth="1" min="2" max="2"/>
    <col width="36" customWidth="1" min="3" max="3"/>
    <col width="17" customWidth="1" min="4" max="4"/>
    <col width="18" customWidth="1" min="5" max="5"/>
    <col width="15" customWidth="1" min="6" max="6"/>
    <col width="10" customWidth="1" min="7" max="8"/>
    <col width="12" customWidth="1" min="9" max="9"/>
    <col width="15" customWidth="1" min="10" max="10"/>
    <col width="16" customWidth="1" min="11" max="11"/>
    <col width="38" customWidth="1" min="12" max="12"/>
  </cols>
  <sheetData>
    <row r="1" ht="13.5" customHeight="1"/>
    <row r="2" ht="33.75" customHeight="1">
      <c r="B2" s="6" t="inlineStr">
        <is>
          <t>Bill of Materials</t>
        </is>
      </c>
    </row>
    <row r="3" ht="18" customHeight="1">
      <c r="B3" s="7" t="inlineStr">
        <is>
          <t>Innkjøp til klassesett</t>
        </is>
      </c>
    </row>
    <row r="4" ht="6" customHeight="1"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 ht="9.75" customHeight="1"/>
    <row r="6" ht="15" customHeight="1">
      <c r="B6" s="9" t="inlineStr">
        <is>
          <t>PROSJEKT / KURS</t>
        </is>
      </c>
      <c r="D6" s="9" t="inlineStr">
        <is>
          <t>ANSVARLIG</t>
        </is>
      </c>
      <c r="E6" s="9" t="n"/>
      <c r="F6" s="9" t="inlineStr">
        <is>
          <t>DATO</t>
        </is>
      </c>
      <c r="H6" s="10" t="n"/>
    </row>
    <row r="7" ht="24" customHeight="1">
      <c r="B7" s="30" t="n"/>
      <c r="C7" s="36" t="n"/>
      <c r="D7" s="30" t="inlineStr">
        <is>
          <t>Even JC</t>
        </is>
      </c>
      <c r="E7" s="36" t="n"/>
      <c r="F7" s="37" t="n"/>
      <c r="G7" s="36" t="n"/>
      <c r="H7" s="11" t="n"/>
    </row>
    <row r="8">
      <c r="H8" s="11" t="n"/>
    </row>
    <row r="9" ht="15" customHeight="1">
      <c r="B9" s="32" t="inlineStr">
        <is>
          <t>ANTALL SETT</t>
        </is>
      </c>
      <c r="D9" s="32" t="inlineStr">
        <is>
          <t>MVA-SATS</t>
        </is>
      </c>
      <c r="F9" s="32" t="inlineStr">
        <is>
          <t>BESTILLINGSFRIST</t>
        </is>
      </c>
      <c r="H9" s="11" t="n"/>
    </row>
    <row r="10" ht="24" customHeight="1">
      <c r="B10" s="38" t="n"/>
      <c r="C10" s="36" t="n"/>
      <c r="D10" s="39" t="n">
        <v>0.25</v>
      </c>
      <c r="E10" s="36" t="n"/>
      <c r="F10" s="37" t="n"/>
      <c r="G10" s="36" t="n"/>
    </row>
    <row r="11" ht="7.5" customHeight="1"/>
    <row r="12" ht="13.5" customHeight="1">
      <c r="J12" s="12" t="inlineStr">
        <is>
          <t>eks. mva</t>
        </is>
      </c>
      <c r="K12" s="12" t="inlineStr">
        <is>
          <t>eks. mva</t>
        </is>
      </c>
    </row>
    <row r="13" ht="27.75" customHeight="1">
      <c r="B13" s="13" t="inlineStr">
        <is>
          <t>Nr</t>
        </is>
      </c>
      <c r="C13" s="14" t="inlineStr">
        <is>
          <t>Beskrivelse</t>
        </is>
      </c>
      <c r="D13" s="14" t="inlineStr">
        <is>
          <t>Kategori</t>
        </is>
      </c>
      <c r="E13" s="14" t="inlineStr">
        <is>
          <t>Leverandør</t>
        </is>
      </c>
      <c r="F13" s="14" t="inlineStr">
        <is>
          <t>Varenummer</t>
        </is>
      </c>
      <c r="G13" s="13" t="inlineStr">
        <is>
          <t>Pr sett</t>
        </is>
      </c>
      <c r="H13" s="13" t="inlineStr">
        <is>
          <t>På lager</t>
        </is>
      </c>
      <c r="I13" s="13" t="inlineStr">
        <is>
          <t>Å bestille</t>
        </is>
      </c>
      <c r="J13" s="15" t="inlineStr">
        <is>
          <t>Pris pr enhet</t>
        </is>
      </c>
      <c r="K13" s="15" t="inlineStr">
        <is>
          <t>Total</t>
        </is>
      </c>
      <c r="L13" s="14" t="inlineStr">
        <is>
          <t>Kommentar</t>
        </is>
      </c>
    </row>
    <row r="14" ht="19.5" customHeight="1">
      <c r="B14" s="16">
        <f>IF(C14="","",ROW()-13)</f>
        <v/>
      </c>
      <c r="C14" s="25" t="n"/>
      <c r="D14" s="25" t="n"/>
      <c r="E14" s="25" t="n"/>
      <c r="F14" s="25" t="n"/>
      <c r="G14" s="26" t="n"/>
      <c r="H14" s="26" t="n"/>
      <c r="I14" s="27">
        <f>IF(G14="","",MAX(0,N(G14)*$B$10-N(H14)))</f>
        <v/>
      </c>
      <c r="J14" s="40" t="n"/>
      <c r="K14" s="41">
        <f>IF(OR(I14="",J14=""),"",I14*J14)</f>
        <v/>
      </c>
      <c r="L14" s="17" t="n"/>
    </row>
    <row r="15" ht="19.5" customHeight="1">
      <c r="B15" s="16">
        <f>IF(C15="","",ROW()-13)</f>
        <v/>
      </c>
      <c r="C15" s="25" t="n"/>
      <c r="D15" s="25" t="n"/>
      <c r="E15" s="25" t="n"/>
      <c r="F15" s="25" t="n"/>
      <c r="G15" s="26" t="n"/>
      <c r="H15" s="26" t="n"/>
      <c r="I15" s="27">
        <f>IF(G15="","",MAX(0,N(G15)*$B$10-N(H15)))</f>
        <v/>
      </c>
      <c r="J15" s="40" t="n"/>
      <c r="K15" s="41">
        <f>IF(OR(I15="",J15=""),"",I15*J15)</f>
        <v/>
      </c>
      <c r="L15" s="17" t="n"/>
    </row>
    <row r="16" ht="19.5" customHeight="1">
      <c r="B16" s="16">
        <f>IF(C16="","",ROW()-13)</f>
        <v/>
      </c>
      <c r="C16" s="17" t="n"/>
      <c r="D16" s="17" t="n"/>
      <c r="E16" s="17" t="n"/>
      <c r="F16" s="17" t="n"/>
      <c r="G16" s="18" t="n"/>
      <c r="H16" s="18" t="n"/>
      <c r="I16" s="19">
        <f>IF(G16="","",MAX(0,N(G16)*$B$10-N(H16)))</f>
        <v/>
      </c>
      <c r="J16" s="42" t="n"/>
      <c r="K16" s="43">
        <f>IF(OR(I16="",J16=""),"",I16*J16)</f>
        <v/>
      </c>
      <c r="L16" s="17" t="n"/>
    </row>
    <row r="17" ht="19.5" customHeight="1">
      <c r="B17" s="16">
        <f>IF(C17="","",ROW()-13)</f>
        <v/>
      </c>
      <c r="C17" s="17" t="n"/>
      <c r="D17" s="17" t="n"/>
      <c r="E17" s="17" t="n"/>
      <c r="F17" s="17" t="n"/>
      <c r="G17" s="18" t="n"/>
      <c r="H17" s="18" t="n"/>
      <c r="I17" s="19">
        <f>IF(G17="","",MAX(0,N(G17)*$B$10-N(H17)))</f>
        <v/>
      </c>
      <c r="J17" s="42" t="n"/>
      <c r="K17" s="43">
        <f>IF(OR(I17="",J17=""),"",I17*J17)</f>
        <v/>
      </c>
      <c r="L17" s="17" t="n"/>
    </row>
    <row r="18" ht="19.5" customHeight="1">
      <c r="B18" s="16">
        <f>IF(C18="","",ROW()-13)</f>
        <v/>
      </c>
      <c r="C18" s="17" t="n"/>
      <c r="D18" s="17" t="n"/>
      <c r="E18" s="17" t="n"/>
      <c r="F18" s="17" t="n"/>
      <c r="G18" s="18" t="n"/>
      <c r="H18" s="18" t="n"/>
      <c r="I18" s="19">
        <f>IF(G18="","",MAX(0,N(G18)*$B$10-N(H18)))</f>
        <v/>
      </c>
      <c r="J18" s="42" t="n"/>
      <c r="K18" s="43">
        <f>IF(OR(I18="",J18=""),"",I18*J18)</f>
        <v/>
      </c>
      <c r="L18" s="17" t="n"/>
    </row>
    <row r="19" ht="19.5" customHeight="1">
      <c r="B19" s="16">
        <f>IF(C19="","",ROW()-13)</f>
        <v/>
      </c>
      <c r="C19" s="17" t="n"/>
      <c r="D19" s="17" t="n"/>
      <c r="E19" s="17" t="n"/>
      <c r="F19" s="17" t="n"/>
      <c r="G19" s="18" t="n"/>
      <c r="H19" s="18" t="n"/>
      <c r="I19" s="19">
        <f>IF(G19="","",MAX(0,N(G19)*$B$10-N(H19)))</f>
        <v/>
      </c>
      <c r="J19" s="42" t="n"/>
      <c r="K19" s="43">
        <f>IF(OR(I19="",J19=""),"",I19*J19)</f>
        <v/>
      </c>
      <c r="L19" s="17" t="n"/>
    </row>
    <row r="20" ht="19.5" customHeight="1">
      <c r="B20" s="16">
        <f>IF(C20="","",ROW()-13)</f>
        <v/>
      </c>
      <c r="C20" s="17" t="n"/>
      <c r="D20" s="17" t="n"/>
      <c r="E20" s="17" t="n"/>
      <c r="F20" s="17" t="n"/>
      <c r="G20" s="18" t="n"/>
      <c r="H20" s="18" t="n"/>
      <c r="I20" s="19">
        <f>IF(G20="","",MAX(0,N(G20)*$B$10-N(H20)))</f>
        <v/>
      </c>
      <c r="J20" s="42" t="n"/>
      <c r="K20" s="43">
        <f>IF(OR(I20="",J20=""),"",I20*J20)</f>
        <v/>
      </c>
      <c r="L20" s="17" t="n"/>
    </row>
    <row r="21" ht="19.5" customHeight="1">
      <c r="B21" s="16">
        <f>IF(C21="","",ROW()-13)</f>
        <v/>
      </c>
      <c r="C21" s="17" t="n"/>
      <c r="D21" s="17" t="n"/>
      <c r="E21" s="17" t="n"/>
      <c r="F21" s="17" t="n"/>
      <c r="G21" s="18" t="n"/>
      <c r="H21" s="18" t="n"/>
      <c r="I21" s="19">
        <f>IF(G21="","",MAX(0,N(G21)*$B$10-N(H21)))</f>
        <v/>
      </c>
      <c r="J21" s="42" t="n"/>
      <c r="K21" s="43">
        <f>IF(OR(I21="",J21=""),"",I21*J21)</f>
        <v/>
      </c>
      <c r="L21" s="17" t="n"/>
    </row>
    <row r="22" ht="19.5" customHeight="1">
      <c r="B22" s="16">
        <f>IF(C22="","",ROW()-13)</f>
        <v/>
      </c>
      <c r="C22" s="17" t="n"/>
      <c r="D22" s="17" t="n"/>
      <c r="E22" s="17" t="n"/>
      <c r="F22" s="17" t="n"/>
      <c r="G22" s="18" t="n"/>
      <c r="H22" s="18" t="n"/>
      <c r="I22" s="19">
        <f>IF(G22="","",MAX(0,N(G22)*$B$10-N(H22)))</f>
        <v/>
      </c>
      <c r="J22" s="42" t="n"/>
      <c r="K22" s="43">
        <f>IF(OR(I22="",J22=""),"",I22*J22)</f>
        <v/>
      </c>
      <c r="L22" s="17" t="n"/>
    </row>
    <row r="23" ht="19.5" customHeight="1">
      <c r="B23" s="16">
        <f>IF(C23="","",ROW()-13)</f>
        <v/>
      </c>
      <c r="C23" s="17" t="n"/>
      <c r="D23" s="17" t="n"/>
      <c r="E23" s="17" t="n"/>
      <c r="F23" s="17" t="n"/>
      <c r="G23" s="18" t="n"/>
      <c r="H23" s="18" t="n"/>
      <c r="I23" s="19">
        <f>IF(G23="","",MAX(0,N(G23)*$B$10-N(H23)))</f>
        <v/>
      </c>
      <c r="J23" s="42" t="n"/>
      <c r="K23" s="43">
        <f>IF(OR(I23="",J23=""),"",I23*J23)</f>
        <v/>
      </c>
      <c r="L23" s="17" t="n"/>
    </row>
    <row r="24" ht="19.5" customHeight="1">
      <c r="B24" s="16">
        <f>IF(C24="","",ROW()-13)</f>
        <v/>
      </c>
      <c r="C24" s="17" t="n"/>
      <c r="D24" s="17" t="n"/>
      <c r="E24" s="17" t="n"/>
      <c r="F24" s="17" t="n"/>
      <c r="G24" s="18" t="n"/>
      <c r="H24" s="18" t="n"/>
      <c r="I24" s="19">
        <f>IF(G24="","",MAX(0,N(G24)*$B$10-N(H24)))</f>
        <v/>
      </c>
      <c r="J24" s="42" t="n"/>
      <c r="K24" s="43">
        <f>IF(OR(I24="",J24=""),"",I24*J24)</f>
        <v/>
      </c>
      <c r="L24" s="17" t="n"/>
    </row>
    <row r="25" ht="19.5" customHeight="1">
      <c r="B25" s="16">
        <f>IF(C25="","",ROW()-13)</f>
        <v/>
      </c>
      <c r="C25" s="17" t="n"/>
      <c r="D25" s="17" t="n"/>
      <c r="E25" s="17" t="n"/>
      <c r="F25" s="17" t="n"/>
      <c r="G25" s="18" t="n"/>
      <c r="H25" s="18" t="n"/>
      <c r="I25" s="19">
        <f>IF(G25="","",MAX(0,N(G25)*$B$10-N(H25)))</f>
        <v/>
      </c>
      <c r="J25" s="42" t="n"/>
      <c r="K25" s="43">
        <f>IF(OR(I25="",J25=""),"",I25*J25)</f>
        <v/>
      </c>
      <c r="L25" s="17" t="n"/>
    </row>
    <row r="26" ht="19.5" customHeight="1">
      <c r="B26" s="16">
        <f>IF(C26="","",ROW()-13)</f>
        <v/>
      </c>
      <c r="C26" s="17" t="n"/>
      <c r="D26" s="17" t="n"/>
      <c r="E26" s="17" t="n"/>
      <c r="F26" s="17" t="n"/>
      <c r="G26" s="18" t="n"/>
      <c r="H26" s="18" t="n"/>
      <c r="I26" s="19">
        <f>IF(G26="","",MAX(0,N(G26)*$B$10-N(H26)))</f>
        <v/>
      </c>
      <c r="J26" s="42" t="n"/>
      <c r="K26" s="43">
        <f>IF(OR(I26="",J26=""),"",I26*J26)</f>
        <v/>
      </c>
      <c r="L26" s="17" t="n"/>
    </row>
    <row r="27" ht="19.5" customHeight="1">
      <c r="B27" s="16">
        <f>IF(C27="","",ROW()-13)</f>
        <v/>
      </c>
      <c r="C27" s="17" t="n"/>
      <c r="D27" s="17" t="n"/>
      <c r="E27" s="17" t="n"/>
      <c r="F27" s="17" t="n"/>
      <c r="G27" s="18" t="n"/>
      <c r="H27" s="18" t="n"/>
      <c r="I27" s="19">
        <f>IF(G27="","",MAX(0,N(G27)*$B$10-N(H27)))</f>
        <v/>
      </c>
      <c r="J27" s="42" t="n"/>
      <c r="K27" s="43">
        <f>IF(OR(I27="",J27=""),"",I27*J27)</f>
        <v/>
      </c>
      <c r="L27" s="17" t="n"/>
    </row>
    <row r="28" ht="19.5" customHeight="1">
      <c r="B28" s="16">
        <f>IF(C28="","",ROW()-13)</f>
        <v/>
      </c>
      <c r="C28" s="17" t="n"/>
      <c r="D28" s="17" t="n"/>
      <c r="E28" s="17" t="n"/>
      <c r="F28" s="17" t="n"/>
      <c r="G28" s="18" t="n"/>
      <c r="H28" s="18" t="n"/>
      <c r="I28" s="19">
        <f>IF(G28="","",MAX(0,N(G28)*$B$10-N(H28)))</f>
        <v/>
      </c>
      <c r="J28" s="42" t="n"/>
      <c r="K28" s="43">
        <f>IF(OR(I28="",J28=""),"",I28*J28)</f>
        <v/>
      </c>
      <c r="L28" s="17" t="n"/>
    </row>
    <row r="29" ht="19.5" customHeight="1">
      <c r="B29" s="16">
        <f>IF(C29="","",ROW()-13)</f>
        <v/>
      </c>
      <c r="C29" s="17" t="n"/>
      <c r="D29" s="17" t="n"/>
      <c r="E29" s="17" t="n"/>
      <c r="F29" s="17" t="n"/>
      <c r="G29" s="18" t="n"/>
      <c r="H29" s="18" t="n"/>
      <c r="I29" s="19">
        <f>IF(G29="","",MAX(0,N(G29)*$B$10-N(H29)))</f>
        <v/>
      </c>
      <c r="J29" s="42" t="n"/>
      <c r="K29" s="43">
        <f>IF(OR(I29="",J29=""),"",I29*J29)</f>
        <v/>
      </c>
      <c r="L29" s="17" t="n"/>
    </row>
    <row r="30" ht="19.5" customHeight="1">
      <c r="B30" s="16">
        <f>IF(C30="","",ROW()-13)</f>
        <v/>
      </c>
      <c r="C30" s="17" t="n"/>
      <c r="D30" s="17" t="n"/>
      <c r="E30" s="17" t="n"/>
      <c r="F30" s="17" t="n"/>
      <c r="G30" s="18" t="n"/>
      <c r="H30" s="18" t="n"/>
      <c r="I30" s="19">
        <f>IF(G30="","",MAX(0,N(G30)*$B$10-N(H30)))</f>
        <v/>
      </c>
      <c r="J30" s="42" t="n"/>
      <c r="K30" s="43">
        <f>IF(OR(I30="",J30=""),"",I30*J30)</f>
        <v/>
      </c>
      <c r="L30" s="17" t="n"/>
    </row>
    <row r="31" ht="19.5" customHeight="1">
      <c r="B31" s="16">
        <f>IF(C31="","",ROW()-13)</f>
        <v/>
      </c>
      <c r="C31" s="17" t="n"/>
      <c r="D31" s="17" t="n"/>
      <c r="E31" s="17" t="n"/>
      <c r="F31" s="17" t="n"/>
      <c r="G31" s="18" t="n"/>
      <c r="H31" s="18" t="n"/>
      <c r="I31" s="19">
        <f>IF(G31="","",MAX(0,N(G31)*$B$10-N(H31)))</f>
        <v/>
      </c>
      <c r="J31" s="42" t="n"/>
      <c r="K31" s="43">
        <f>IF(OR(I31="",J31=""),"",I31*J31)</f>
        <v/>
      </c>
      <c r="L31" s="17" t="n"/>
    </row>
    <row r="32" ht="19.5" customHeight="1">
      <c r="B32" s="16">
        <f>IF(C32="","",ROW()-13)</f>
        <v/>
      </c>
      <c r="C32" s="17" t="n"/>
      <c r="D32" s="17" t="n"/>
      <c r="E32" s="17" t="n"/>
      <c r="F32" s="17" t="n"/>
      <c r="G32" s="18" t="n"/>
      <c r="H32" s="18" t="n"/>
      <c r="I32" s="19">
        <f>IF(G32="","",MAX(0,N(G32)*$B$10-N(H32)))</f>
        <v/>
      </c>
      <c r="J32" s="42" t="n"/>
      <c r="K32" s="43">
        <f>IF(OR(I32="",J32=""),"",I32*J32)</f>
        <v/>
      </c>
      <c r="L32" s="17" t="n"/>
    </row>
    <row r="33" ht="19.5" customHeight="1">
      <c r="B33" s="16">
        <f>IF(C33="","",ROW()-13)</f>
        <v/>
      </c>
      <c r="C33" s="17" t="n"/>
      <c r="D33" s="17" t="n"/>
      <c r="E33" s="17" t="n"/>
      <c r="F33" s="17" t="n"/>
      <c r="G33" s="18" t="n"/>
      <c r="H33" s="18" t="n"/>
      <c r="I33" s="19">
        <f>IF(G33="","",MAX(0,N(G33)*$B$10-N(H33)))</f>
        <v/>
      </c>
      <c r="J33" s="42" t="n"/>
      <c r="K33" s="43">
        <f>IF(OR(I33="",J33=""),"",I33*J33)</f>
        <v/>
      </c>
      <c r="L33" s="17" t="n"/>
    </row>
    <row r="34" ht="19.5" customHeight="1">
      <c r="B34" s="16">
        <f>IF(C34="","",ROW()-13)</f>
        <v/>
      </c>
      <c r="C34" s="17" t="n"/>
      <c r="D34" s="17" t="n"/>
      <c r="E34" s="17" t="n"/>
      <c r="F34" s="17" t="n"/>
      <c r="G34" s="18" t="n"/>
      <c r="H34" s="18" t="n"/>
      <c r="I34" s="19">
        <f>IF(G34="","",MAX(0,N(G34)*$B$10-N(H34)))</f>
        <v/>
      </c>
      <c r="J34" s="42" t="n"/>
      <c r="K34" s="43">
        <f>IF(OR(I34="",J34=""),"",I34*J34)</f>
        <v/>
      </c>
      <c r="L34" s="17" t="n"/>
    </row>
    <row r="35" ht="19.5" customHeight="1">
      <c r="B35" s="16">
        <f>IF(C35="","",ROW()-13)</f>
        <v/>
      </c>
      <c r="C35" s="17" t="n"/>
      <c r="D35" s="17" t="n"/>
      <c r="E35" s="17" t="n"/>
      <c r="F35" s="17" t="n"/>
      <c r="G35" s="18" t="n"/>
      <c r="H35" s="18" t="n"/>
      <c r="I35" s="19">
        <f>IF(G35="","",MAX(0,N(G35)*$B$10-N(H35)))</f>
        <v/>
      </c>
      <c r="J35" s="42" t="n"/>
      <c r="K35" s="43">
        <f>IF(OR(I35="",J35=""),"",I35*J35)</f>
        <v/>
      </c>
      <c r="L35" s="17" t="n"/>
    </row>
    <row r="36" ht="19.5" customHeight="1">
      <c r="B36" s="16">
        <f>IF(C36="","",ROW()-13)</f>
        <v/>
      </c>
      <c r="C36" s="17" t="n"/>
      <c r="D36" s="17" t="n"/>
      <c r="E36" s="17" t="n"/>
      <c r="F36" s="17" t="n"/>
      <c r="G36" s="18" t="n"/>
      <c r="H36" s="18" t="n"/>
      <c r="I36" s="19">
        <f>IF(G36="","",MAX(0,N(G36)*$B$10-N(H36)))</f>
        <v/>
      </c>
      <c r="J36" s="42" t="n"/>
      <c r="K36" s="43">
        <f>IF(OR(I36="",J36=""),"",I36*J36)</f>
        <v/>
      </c>
      <c r="L36" s="17" t="n"/>
    </row>
    <row r="37" ht="19.5" customHeight="1">
      <c r="B37" s="16">
        <f>IF(C37="","",ROW()-13)</f>
        <v/>
      </c>
      <c r="C37" s="17" t="n"/>
      <c r="D37" s="17" t="n"/>
      <c r="E37" s="17" t="n"/>
      <c r="F37" s="17" t="n"/>
      <c r="G37" s="18" t="n"/>
      <c r="H37" s="18" t="n"/>
      <c r="I37" s="19">
        <f>IF(G37="","",MAX(0,N(G37)*$B$10-N(H37)))</f>
        <v/>
      </c>
      <c r="J37" s="42" t="n"/>
      <c r="K37" s="43">
        <f>IF(OR(I37="",J37=""),"",I37*J37)</f>
        <v/>
      </c>
      <c r="L37" s="17" t="n"/>
    </row>
    <row r="38" ht="19.5" customHeight="1">
      <c r="B38" s="16">
        <f>IF(C38="","",ROW()-13)</f>
        <v/>
      </c>
      <c r="C38" s="17" t="n"/>
      <c r="D38" s="17" t="n"/>
      <c r="E38" s="17" t="n"/>
      <c r="F38" s="17" t="n"/>
      <c r="G38" s="18" t="n"/>
      <c r="H38" s="18" t="n"/>
      <c r="I38" s="19">
        <f>IF(G38="","",MAX(0,N(G38)*$B$10-N(H38)))</f>
        <v/>
      </c>
      <c r="J38" s="42" t="n"/>
      <c r="K38" s="43">
        <f>IF(OR(I38="",J38=""),"",I38*J38)</f>
        <v/>
      </c>
      <c r="L38" s="17" t="n"/>
    </row>
    <row r="39" ht="19.5" customHeight="1">
      <c r="B39" s="16">
        <f>IF(C39="","",ROW()-13)</f>
        <v/>
      </c>
      <c r="C39" s="17" t="n"/>
      <c r="D39" s="17" t="n"/>
      <c r="E39" s="17" t="n"/>
      <c r="F39" s="17" t="n"/>
      <c r="G39" s="18" t="n"/>
      <c r="H39" s="18" t="n"/>
      <c r="I39" s="19">
        <f>IF(G39="","",MAX(0,N(G39)*$B$10-N(H39)))</f>
        <v/>
      </c>
      <c r="J39" s="42" t="n"/>
      <c r="K39" s="43">
        <f>IF(OR(I39="",J39=""),"",I39*J39)</f>
        <v/>
      </c>
      <c r="L39" s="17" t="n"/>
    </row>
    <row r="40" ht="19.5" customHeight="1">
      <c r="B40" s="16">
        <f>IF(C40="","",ROW()-13)</f>
        <v/>
      </c>
      <c r="C40" s="17" t="n"/>
      <c r="D40" s="17" t="n"/>
      <c r="E40" s="17" t="n"/>
      <c r="F40" s="17" t="n"/>
      <c r="G40" s="18" t="n"/>
      <c r="H40" s="18" t="n"/>
      <c r="I40" s="19">
        <f>IF(G40="","",MAX(0,N(G40)*$B$10-N(H40)))</f>
        <v/>
      </c>
      <c r="J40" s="42" t="n"/>
      <c r="K40" s="43">
        <f>IF(OR(I40="",J40=""),"",I40*J40)</f>
        <v/>
      </c>
      <c r="L40" s="17" t="n"/>
    </row>
    <row r="41" ht="19.5" customHeight="1">
      <c r="B41" s="16">
        <f>IF(C41="","",ROW()-13)</f>
        <v/>
      </c>
      <c r="C41" s="17" t="n"/>
      <c r="D41" s="17" t="n"/>
      <c r="E41" s="17" t="n"/>
      <c r="F41" s="17" t="n"/>
      <c r="G41" s="18" t="n"/>
      <c r="H41" s="18" t="n"/>
      <c r="I41" s="19">
        <f>IF(G41="","",MAX(0,N(G41)*$B$10-N(H41)))</f>
        <v/>
      </c>
      <c r="J41" s="42" t="n"/>
      <c r="K41" s="43">
        <f>IF(OR(I41="",J41=""),"",I41*J41)</f>
        <v/>
      </c>
      <c r="L41" s="17" t="n"/>
    </row>
    <row r="42" ht="19.5" customHeight="1">
      <c r="B42" s="16">
        <f>IF(C42="","",ROW()-13)</f>
        <v/>
      </c>
      <c r="C42" s="17" t="n"/>
      <c r="D42" s="17" t="n"/>
      <c r="E42" s="17" t="n"/>
      <c r="F42" s="17" t="n"/>
      <c r="G42" s="18" t="n"/>
      <c r="H42" s="18" t="n"/>
      <c r="I42" s="19">
        <f>IF(G42="","",MAX(0,N(G42)*$B$10-N(H42)))</f>
        <v/>
      </c>
      <c r="J42" s="42" t="n"/>
      <c r="K42" s="43">
        <f>IF(OR(I42="",J42=""),"",I42*J42)</f>
        <v/>
      </c>
      <c r="L42" s="17" t="n"/>
    </row>
    <row r="43" ht="19.5" customHeight="1">
      <c r="B43" s="16">
        <f>IF(C43="","",ROW()-13)</f>
        <v/>
      </c>
      <c r="C43" s="17" t="n"/>
      <c r="D43" s="17" t="n"/>
      <c r="E43" s="17" t="n"/>
      <c r="F43" s="17" t="n"/>
      <c r="G43" s="18" t="n"/>
      <c r="H43" s="18" t="n"/>
      <c r="I43" s="19">
        <f>IF(G43="","",MAX(0,N(G43)*$B$10-N(H43)))</f>
        <v/>
      </c>
      <c r="J43" s="42" t="n"/>
      <c r="K43" s="43">
        <f>IF(OR(I43="",J43=""),"",I43*J43)</f>
        <v/>
      </c>
      <c r="L43" s="17" t="n"/>
    </row>
    <row r="44" ht="19.5" customHeight="1">
      <c r="B44" s="16">
        <f>IF(C44="","",ROW()-13)</f>
        <v/>
      </c>
      <c r="C44" s="17" t="n"/>
      <c r="D44" s="17" t="n"/>
      <c r="E44" s="17" t="n"/>
      <c r="F44" s="17" t="n"/>
      <c r="G44" s="18" t="n"/>
      <c r="H44" s="18" t="n"/>
      <c r="I44" s="19">
        <f>IF(G44="","",MAX(0,N(G44)*$B$10-N(H44)))</f>
        <v/>
      </c>
      <c r="J44" s="42" t="n"/>
      <c r="K44" s="43">
        <f>IF(OR(I44="",J44=""),"",I44*J44)</f>
        <v/>
      </c>
      <c r="L44" s="17" t="n"/>
    </row>
    <row r="45" ht="19.5" customHeight="1">
      <c r="B45" s="16">
        <f>IF(C45="","",ROW()-13)</f>
        <v/>
      </c>
      <c r="C45" s="17" t="n"/>
      <c r="D45" s="17" t="n"/>
      <c r="E45" s="17" t="n"/>
      <c r="F45" s="17" t="n"/>
      <c r="G45" s="18" t="n"/>
      <c r="H45" s="18" t="n"/>
      <c r="I45" s="19">
        <f>IF(G45="","",MAX(0,N(G45)*$B$10-N(H45)))</f>
        <v/>
      </c>
      <c r="J45" s="42" t="n"/>
      <c r="K45" s="43">
        <f>IF(OR(I45="",J45=""),"",I45*J45)</f>
        <v/>
      </c>
      <c r="L45" s="17" t="n"/>
    </row>
    <row r="46" ht="19.5" customHeight="1">
      <c r="B46" s="16">
        <f>IF(C46="","",ROW()-13)</f>
        <v/>
      </c>
      <c r="C46" s="17" t="n"/>
      <c r="D46" s="17" t="n"/>
      <c r="E46" s="17" t="n"/>
      <c r="F46" s="17" t="n"/>
      <c r="G46" s="18" t="n"/>
      <c r="H46" s="18" t="n"/>
      <c r="I46" s="19">
        <f>IF(G46="","",MAX(0,N(G46)*$B$10-N(H46)))</f>
        <v/>
      </c>
      <c r="J46" s="42" t="n"/>
      <c r="K46" s="43">
        <f>IF(OR(I46="",J46=""),"",I46*J46)</f>
        <v/>
      </c>
      <c r="L46" s="17" t="n"/>
    </row>
    <row r="47" ht="19.5" customHeight="1">
      <c r="B47" s="16">
        <f>IF(C47="","",ROW()-13)</f>
        <v/>
      </c>
      <c r="C47" s="17" t="n"/>
      <c r="D47" s="17" t="n"/>
      <c r="E47" s="17" t="n"/>
      <c r="F47" s="17" t="n"/>
      <c r="G47" s="18" t="n"/>
      <c r="H47" s="18" t="n"/>
      <c r="I47" s="19">
        <f>IF(G47="","",MAX(0,N(G47)*$B$10-N(H47)))</f>
        <v/>
      </c>
      <c r="J47" s="42" t="n"/>
      <c r="K47" s="43">
        <f>IF(OR(I47="",J47=""),"",I47*J47)</f>
        <v/>
      </c>
      <c r="L47" s="17" t="n"/>
    </row>
    <row r="48" ht="19.5" customHeight="1">
      <c r="B48" s="16">
        <f>IF(C48="","",ROW()-13)</f>
        <v/>
      </c>
      <c r="C48" s="17" t="n"/>
      <c r="D48" s="17" t="n"/>
      <c r="E48" s="17" t="n"/>
      <c r="F48" s="17" t="n"/>
      <c r="G48" s="18" t="n"/>
      <c r="H48" s="18" t="n"/>
      <c r="I48" s="19">
        <f>IF(G48="","",MAX(0,N(G48)*$B$10-N(H48)))</f>
        <v/>
      </c>
      <c r="J48" s="42" t="n"/>
      <c r="K48" s="43">
        <f>IF(OR(I48="",J48=""),"",I48*J48)</f>
        <v/>
      </c>
      <c r="L48" s="17" t="n"/>
    </row>
    <row r="49" ht="19.5" customHeight="1">
      <c r="B49" s="16">
        <f>IF(C49="","",ROW()-13)</f>
        <v/>
      </c>
      <c r="C49" s="17" t="n"/>
      <c r="D49" s="17" t="n"/>
      <c r="E49" s="17" t="n"/>
      <c r="F49" s="17" t="n"/>
      <c r="G49" s="18" t="n"/>
      <c r="H49" s="18" t="n"/>
      <c r="I49" s="19">
        <f>IF(G49="","",MAX(0,N(G49)*$B$10-N(H49)))</f>
        <v/>
      </c>
      <c r="J49" s="42" t="n"/>
      <c r="K49" s="43">
        <f>IF(OR(I49="",J49=""),"",I49*J49)</f>
        <v/>
      </c>
      <c r="L49" s="17" t="n"/>
    </row>
    <row r="50" ht="19.5" customHeight="1">
      <c r="B50" s="16">
        <f>IF(C50="","",ROW()-13)</f>
        <v/>
      </c>
      <c r="C50" s="17" t="n"/>
      <c r="D50" s="17" t="n"/>
      <c r="E50" s="17" t="n"/>
      <c r="F50" s="17" t="n"/>
      <c r="G50" s="18" t="n"/>
      <c r="H50" s="18" t="n"/>
      <c r="I50" s="19">
        <f>IF(G50="","",MAX(0,N(G50)*$B$10-N(H50)))</f>
        <v/>
      </c>
      <c r="J50" s="42" t="n"/>
      <c r="K50" s="43">
        <f>IF(OR(I50="",J50=""),"",I50*J50)</f>
        <v/>
      </c>
      <c r="L50" s="17" t="n"/>
    </row>
    <row r="51" ht="19.5" customHeight="1">
      <c r="B51" s="16">
        <f>IF(C51="","",ROW()-13)</f>
        <v/>
      </c>
      <c r="C51" s="17" t="n"/>
      <c r="D51" s="17" t="n"/>
      <c r="E51" s="17" t="n"/>
      <c r="F51" s="17" t="n"/>
      <c r="G51" s="18" t="n"/>
      <c r="H51" s="18" t="n"/>
      <c r="I51" s="19">
        <f>IF(G51="","",MAX(0,N(G51)*$B$10-N(H51)))</f>
        <v/>
      </c>
      <c r="J51" s="42" t="n"/>
      <c r="K51" s="43">
        <f>IF(OR(I51="",J51=""),"",I51*J51)</f>
        <v/>
      </c>
      <c r="L51" s="17" t="n"/>
    </row>
    <row r="52" ht="19.5" customHeight="1">
      <c r="B52" s="16">
        <f>IF(C52="","",ROW()-13)</f>
        <v/>
      </c>
      <c r="C52" s="17" t="n"/>
      <c r="D52" s="17" t="n"/>
      <c r="E52" s="17" t="n"/>
      <c r="F52" s="17" t="n"/>
      <c r="G52" s="18" t="n"/>
      <c r="H52" s="18" t="n"/>
      <c r="I52" s="19">
        <f>IF(G52="","",MAX(0,N(G52)*$B$10-N(H52)))</f>
        <v/>
      </c>
      <c r="J52" s="42" t="n"/>
      <c r="K52" s="43">
        <f>IF(OR(I52="",J52=""),"",I52*J52)</f>
        <v/>
      </c>
      <c r="L52" s="17" t="n"/>
    </row>
    <row r="53" ht="19.5" customHeight="1">
      <c r="B53" s="16">
        <f>IF(C53="","",ROW()-13)</f>
        <v/>
      </c>
      <c r="C53" s="17" t="n"/>
      <c r="D53" s="17" t="n"/>
      <c r="E53" s="17" t="n"/>
      <c r="F53" s="17" t="n"/>
      <c r="G53" s="18" t="n"/>
      <c r="H53" s="18" t="n"/>
      <c r="I53" s="19">
        <f>IF(G53="","",MAX(0,N(G53)*$B$10-N(H53)))</f>
        <v/>
      </c>
      <c r="J53" s="42" t="n"/>
      <c r="K53" s="43">
        <f>IF(OR(I53="",J53=""),"",I53*J53)</f>
        <v/>
      </c>
      <c r="L53" s="17" t="n"/>
    </row>
    <row r="54" ht="19.5" customHeight="1">
      <c r="B54" s="16">
        <f>IF(C54="","",ROW()-13)</f>
        <v/>
      </c>
      <c r="C54" s="17" t="n"/>
      <c r="D54" s="17" t="n"/>
      <c r="E54" s="17" t="n"/>
      <c r="F54" s="17" t="n"/>
      <c r="G54" s="18" t="n"/>
      <c r="H54" s="18" t="n"/>
      <c r="I54" s="19">
        <f>IF(G54="","",MAX(0,N(G54)*$B$10-N(H54)))</f>
        <v/>
      </c>
      <c r="J54" s="42" t="n"/>
      <c r="K54" s="43">
        <f>IF(OR(I54="",J54=""),"",I54*J54)</f>
        <v/>
      </c>
      <c r="L54" s="17" t="n"/>
    </row>
    <row r="55" ht="19.5" customHeight="1">
      <c r="B55" s="16">
        <f>IF(C55="","",ROW()-13)</f>
        <v/>
      </c>
      <c r="C55" s="17" t="n"/>
      <c r="D55" s="17" t="n"/>
      <c r="E55" s="17" t="n"/>
      <c r="F55" s="17" t="n"/>
      <c r="G55" s="18" t="n"/>
      <c r="H55" s="18" t="n"/>
      <c r="I55" s="19">
        <f>IF(G55="","",MAX(0,N(G55)*$B$10-N(H55)))</f>
        <v/>
      </c>
      <c r="J55" s="42" t="n"/>
      <c r="K55" s="43">
        <f>IF(OR(I55="",J55=""),"",I55*J55)</f>
        <v/>
      </c>
      <c r="L55" s="17" t="n"/>
    </row>
    <row r="56" ht="19.5" customHeight="1">
      <c r="B56" s="16">
        <f>IF(C56="","",ROW()-13)</f>
        <v/>
      </c>
      <c r="C56" s="17" t="n"/>
      <c r="D56" s="17" t="n"/>
      <c r="E56" s="17" t="n"/>
      <c r="F56" s="17" t="n"/>
      <c r="G56" s="18" t="n"/>
      <c r="H56" s="18" t="n"/>
      <c r="I56" s="19">
        <f>IF(G56="","",MAX(0,N(G56)*$B$10-N(H56)))</f>
        <v/>
      </c>
      <c r="J56" s="42" t="n"/>
      <c r="K56" s="43">
        <f>IF(OR(I56="",J56=""),"",I56*J56)</f>
        <v/>
      </c>
      <c r="L56" s="17" t="n"/>
    </row>
    <row r="57" ht="19.5" customHeight="1">
      <c r="B57" s="16">
        <f>IF(C57="","",ROW()-13)</f>
        <v/>
      </c>
      <c r="C57" s="17" t="n"/>
      <c r="D57" s="17" t="n"/>
      <c r="E57" s="17" t="n"/>
      <c r="F57" s="17" t="n"/>
      <c r="G57" s="18" t="n"/>
      <c r="H57" s="18" t="n"/>
      <c r="I57" s="19">
        <f>IF(G57="","",MAX(0,N(G57)*$B$10-N(H57)))</f>
        <v/>
      </c>
      <c r="J57" s="42" t="n"/>
      <c r="K57" s="43">
        <f>IF(OR(I57="",J57=""),"",I57*J57)</f>
        <v/>
      </c>
      <c r="L57" s="17" t="n"/>
    </row>
    <row r="58" ht="19.5" customHeight="1">
      <c r="B58" s="16">
        <f>IF(C58="","",ROW()-13)</f>
        <v/>
      </c>
      <c r="C58" s="17" t="n"/>
      <c r="D58" s="17" t="n"/>
      <c r="E58" s="17" t="n"/>
      <c r="F58" s="17" t="n"/>
      <c r="G58" s="18" t="n"/>
      <c r="H58" s="18" t="n"/>
      <c r="I58" s="19">
        <f>IF(G58="","",MAX(0,N(G58)*$B$10-N(H58)))</f>
        <v/>
      </c>
      <c r="J58" s="42" t="n"/>
      <c r="K58" s="43">
        <f>IF(OR(I58="",J58=""),"",I58*J58)</f>
        <v/>
      </c>
      <c r="L58" s="17" t="n"/>
    </row>
    <row r="59" ht="19.5" customHeight="1">
      <c r="B59" s="16">
        <f>IF(C59="","",ROW()-13)</f>
        <v/>
      </c>
      <c r="C59" s="17" t="n"/>
      <c r="D59" s="17" t="n"/>
      <c r="E59" s="17" t="n"/>
      <c r="F59" s="17" t="n"/>
      <c r="G59" s="18" t="n"/>
      <c r="H59" s="18" t="n"/>
      <c r="I59" s="19">
        <f>IF(G59="","",MAX(0,N(G59)*$B$10-N(H59)))</f>
        <v/>
      </c>
      <c r="J59" s="42" t="n"/>
      <c r="K59" s="43">
        <f>IF(OR(I59="",J59=""),"",I59*J59)</f>
        <v/>
      </c>
      <c r="L59" s="17" t="n"/>
    </row>
    <row r="60" ht="19.5" customHeight="1">
      <c r="B60" s="16">
        <f>IF(C60="","",ROW()-13)</f>
        <v/>
      </c>
      <c r="C60" s="17" t="n"/>
      <c r="D60" s="17" t="n"/>
      <c r="E60" s="17" t="n"/>
      <c r="F60" s="17" t="n"/>
      <c r="G60" s="18" t="n"/>
      <c r="H60" s="18" t="n"/>
      <c r="I60" s="19">
        <f>IF(G60="","",MAX(0,N(G60)*$B$10-N(H60)))</f>
        <v/>
      </c>
      <c r="J60" s="42" t="n"/>
      <c r="K60" s="43">
        <f>IF(OR(I60="",J60=""),"",I60*J60)</f>
        <v/>
      </c>
      <c r="L60" s="17" t="n"/>
    </row>
    <row r="61" ht="19.5" customHeight="1">
      <c r="B61" s="16">
        <f>IF(C61="","",ROW()-13)</f>
        <v/>
      </c>
      <c r="C61" s="17" t="n"/>
      <c r="D61" s="17" t="n"/>
      <c r="E61" s="17" t="n"/>
      <c r="F61" s="17" t="n"/>
      <c r="G61" s="18" t="n"/>
      <c r="H61" s="18" t="n"/>
      <c r="I61" s="19">
        <f>IF(G61="","",MAX(0,N(G61)*$B$10-N(H61)))</f>
        <v/>
      </c>
      <c r="J61" s="42" t="n"/>
      <c r="K61" s="43">
        <f>IF(OR(I61="",J61=""),"",I61*J61)</f>
        <v/>
      </c>
      <c r="L61" s="17" t="n"/>
    </row>
    <row r="62" ht="19.5" customHeight="1">
      <c r="B62" s="16">
        <f>IF(C62="","",ROW()-13)</f>
        <v/>
      </c>
      <c r="C62" s="17" t="n"/>
      <c r="D62" s="17" t="n"/>
      <c r="E62" s="17" t="n"/>
      <c r="F62" s="17" t="n"/>
      <c r="G62" s="18" t="n"/>
      <c r="H62" s="18" t="n"/>
      <c r="I62" s="19">
        <f>IF(G62="","",MAX(0,N(G62)*$B$10-N(H62)))</f>
        <v/>
      </c>
      <c r="J62" s="42" t="n"/>
      <c r="K62" s="43">
        <f>IF(OR(I62="",J62=""),"",I62*J62)</f>
        <v/>
      </c>
      <c r="L62" s="17" t="n"/>
    </row>
    <row r="63" ht="19.5" customHeight="1">
      <c r="B63" s="16">
        <f>IF(C63="","",ROW()-13)</f>
        <v/>
      </c>
      <c r="C63" s="17" t="n"/>
      <c r="D63" s="17" t="n"/>
      <c r="E63" s="17" t="n"/>
      <c r="F63" s="17" t="n"/>
      <c r="G63" s="18" t="n"/>
      <c r="H63" s="18" t="n"/>
      <c r="I63" s="19">
        <f>IF(G63="","",MAX(0,N(G63)*$B$10-N(H63)))</f>
        <v/>
      </c>
      <c r="J63" s="42" t="n"/>
      <c r="K63" s="43">
        <f>IF(OR(I63="",J63=""),"",I63*J63)</f>
        <v/>
      </c>
      <c r="L63" s="17" t="n"/>
    </row>
    <row r="64" ht="19.5" customHeight="1">
      <c r="B64" s="16">
        <f>IF(C64="","",ROW()-13)</f>
        <v/>
      </c>
      <c r="C64" s="17" t="n"/>
      <c r="D64" s="17" t="n"/>
      <c r="E64" s="17" t="n"/>
      <c r="F64" s="17" t="n"/>
      <c r="G64" s="18" t="n"/>
      <c r="H64" s="18" t="n"/>
      <c r="I64" s="19">
        <f>IF(G64="","",MAX(0,N(G64)*$B$10-N(H64)))</f>
        <v/>
      </c>
      <c r="J64" s="42" t="n"/>
      <c r="K64" s="43">
        <f>IF(OR(I64="",J64=""),"",I64*J64)</f>
        <v/>
      </c>
      <c r="L64" s="17" t="n"/>
    </row>
    <row r="65" ht="19.5" customHeight="1">
      <c r="B65" s="16">
        <f>IF(C65="","",ROW()-13)</f>
        <v/>
      </c>
      <c r="C65" s="17" t="n"/>
      <c r="D65" s="17" t="n"/>
      <c r="E65" s="17" t="n"/>
      <c r="F65" s="17" t="n"/>
      <c r="G65" s="18" t="n"/>
      <c r="H65" s="18" t="n"/>
      <c r="I65" s="19">
        <f>IF(G65="","",MAX(0,N(G65)*$B$10-N(H65)))</f>
        <v/>
      </c>
      <c r="J65" s="42" t="n"/>
      <c r="K65" s="43">
        <f>IF(OR(I65="",J65=""),"",I65*J65)</f>
        <v/>
      </c>
      <c r="L65" s="17" t="n"/>
    </row>
    <row r="66" ht="19.5" customHeight="1">
      <c r="B66" s="16">
        <f>IF(C66="","",ROW()-13)</f>
        <v/>
      </c>
      <c r="C66" s="17" t="n"/>
      <c r="D66" s="17" t="n"/>
      <c r="E66" s="17" t="n"/>
      <c r="F66" s="17" t="n"/>
      <c r="G66" s="18" t="n"/>
      <c r="H66" s="18" t="n"/>
      <c r="I66" s="19">
        <f>IF(G66="","",MAX(0,N(G66)*$B$10-N(H66)))</f>
        <v/>
      </c>
      <c r="J66" s="42" t="n"/>
      <c r="K66" s="43">
        <f>IF(OR(I66="",J66=""),"",I66*J66)</f>
        <v/>
      </c>
      <c r="L66" s="17" t="n"/>
    </row>
    <row r="67" ht="19.5" customHeight="1">
      <c r="B67" s="16">
        <f>IF(C67="","",ROW()-13)</f>
        <v/>
      </c>
      <c r="C67" s="17" t="n"/>
      <c r="D67" s="17" t="n"/>
      <c r="E67" s="17" t="n"/>
      <c r="F67" s="17" t="n"/>
      <c r="G67" s="18" t="n"/>
      <c r="H67" s="18" t="n"/>
      <c r="I67" s="19">
        <f>IF(G67="","",MAX(0,N(G67)*$B$10-N(H67)))</f>
        <v/>
      </c>
      <c r="J67" s="42" t="n"/>
      <c r="K67" s="43">
        <f>IF(OR(I67="",J67=""),"",I67*J67)</f>
        <v/>
      </c>
      <c r="L67" s="17" t="n"/>
    </row>
    <row r="68" ht="19.5" customHeight="1">
      <c r="B68" s="16">
        <f>IF(C68="","",ROW()-13)</f>
        <v/>
      </c>
      <c r="C68" s="17" t="n"/>
      <c r="D68" s="17" t="n"/>
      <c r="E68" s="17" t="n"/>
      <c r="F68" s="17" t="n"/>
      <c r="G68" s="18" t="n"/>
      <c r="H68" s="18" t="n"/>
      <c r="I68" s="19">
        <f>IF(G68="","",MAX(0,N(G68)*$B$10-N(H68)))</f>
        <v/>
      </c>
      <c r="J68" s="42" t="n"/>
      <c r="K68" s="43">
        <f>IF(OR(I68="",J68=""),"",I68*J68)</f>
        <v/>
      </c>
      <c r="L68" s="17" t="n"/>
    </row>
    <row r="69" ht="19.5" customHeight="1">
      <c r="B69" s="16">
        <f>IF(C69="","",ROW()-13)</f>
        <v/>
      </c>
      <c r="C69" s="17" t="n"/>
      <c r="D69" s="17" t="n"/>
      <c r="E69" s="17" t="n"/>
      <c r="F69" s="17" t="n"/>
      <c r="G69" s="18" t="n"/>
      <c r="H69" s="18" t="n"/>
      <c r="I69" s="19">
        <f>IF(G69="","",MAX(0,N(G69)*$B$10-N(H69)))</f>
        <v/>
      </c>
      <c r="J69" s="42" t="n"/>
      <c r="K69" s="43">
        <f>IF(OR(I69="",J69=""),"",I69*J69)</f>
        <v/>
      </c>
      <c r="L69" s="17" t="n"/>
    </row>
    <row r="70" ht="19.5" customHeight="1">
      <c r="B70" s="16">
        <f>IF(C70="","",ROW()-13)</f>
        <v/>
      </c>
      <c r="C70" s="17" t="n"/>
      <c r="D70" s="17" t="n"/>
      <c r="E70" s="17" t="n"/>
      <c r="F70" s="17" t="n"/>
      <c r="G70" s="18" t="n"/>
      <c r="H70" s="18" t="n"/>
      <c r="I70" s="19">
        <f>IF(G70="","",MAX(0,N(G70)*$B$10-N(H70)))</f>
        <v/>
      </c>
      <c r="J70" s="42" t="n"/>
      <c r="K70" s="43">
        <f>IF(OR(I70="",J70=""),"",I70*J70)</f>
        <v/>
      </c>
      <c r="L70" s="17" t="n"/>
    </row>
    <row r="71" ht="19.5" customHeight="1">
      <c r="B71" s="16">
        <f>IF(C71="","",ROW()-13)</f>
        <v/>
      </c>
      <c r="C71" s="17" t="n"/>
      <c r="D71" s="17" t="n"/>
      <c r="E71" s="17" t="n"/>
      <c r="F71" s="17" t="n"/>
      <c r="G71" s="18" t="n"/>
      <c r="H71" s="18" t="n"/>
      <c r="I71" s="19">
        <f>IF(G71="","",MAX(0,N(G71)*$B$10-N(H71)))</f>
        <v/>
      </c>
      <c r="J71" s="42" t="n"/>
      <c r="K71" s="43">
        <f>IF(OR(I71="",J71=""),"",I71*J71)</f>
        <v/>
      </c>
      <c r="L71" s="17" t="n"/>
    </row>
    <row r="72" ht="19.5" customHeight="1">
      <c r="B72" s="16">
        <f>IF(C72="","",ROW()-13)</f>
        <v/>
      </c>
      <c r="C72" s="17" t="n"/>
      <c r="D72" s="17" t="n"/>
      <c r="E72" s="17" t="n"/>
      <c r="F72" s="17" t="n"/>
      <c r="G72" s="18" t="n"/>
      <c r="H72" s="18" t="n"/>
      <c r="I72" s="19">
        <f>IF(G72="","",MAX(0,N(G72)*$B$10-N(H72)))</f>
        <v/>
      </c>
      <c r="J72" s="42" t="n"/>
      <c r="K72" s="43">
        <f>IF(OR(I72="",J72=""),"",I72*J72)</f>
        <v/>
      </c>
      <c r="L72" s="17" t="n"/>
    </row>
    <row r="73" ht="19.5" customHeight="1">
      <c r="B73" s="16">
        <f>IF(C73="","",ROW()-13)</f>
        <v/>
      </c>
      <c r="C73" s="17" t="n"/>
      <c r="D73" s="17" t="n"/>
      <c r="E73" s="17" t="n"/>
      <c r="F73" s="17" t="n"/>
      <c r="G73" s="18" t="n"/>
      <c r="H73" s="18" t="n"/>
      <c r="I73" s="19">
        <f>IF(G73="","",MAX(0,N(G73)*$B$10-N(H73)))</f>
        <v/>
      </c>
      <c r="J73" s="42" t="n"/>
      <c r="K73" s="43">
        <f>IF(OR(I73="",J73=""),"",I73*J73)</f>
        <v/>
      </c>
      <c r="L73" s="17" t="n"/>
    </row>
    <row r="74" ht="9.75" customHeight="1"/>
    <row r="75" ht="19.5" customHeight="1">
      <c r="C75" s="9" t="inlineStr">
        <is>
          <t>PRIS PR SETT (INKL. MVA)</t>
        </is>
      </c>
      <c r="D75" s="9" t="inlineStr">
        <is>
          <t>ANTALL LINJER</t>
        </is>
      </c>
      <c r="I75" s="2" t="inlineStr">
        <is>
          <t>Sum eks. mva</t>
        </is>
      </c>
      <c r="J75" s="44" t="n"/>
      <c r="K75" s="45">
        <f>SUM(K14:K73)</f>
        <v/>
      </c>
    </row>
    <row r="76" ht="19.5" customHeight="1">
      <c r="C76" s="46">
        <f>IF($B$10&gt;0,K77/$B$10,0)</f>
        <v/>
      </c>
      <c r="D76" s="3">
        <f>COUNTA(C14:C73)</f>
        <v/>
      </c>
      <c r="I76" s="5" t="inlineStr">
        <is>
          <t>MVA</t>
        </is>
      </c>
      <c r="K76" s="47">
        <f>K75*$D$10</f>
        <v/>
      </c>
    </row>
    <row r="77" ht="25.5" customHeight="1">
      <c r="I77" s="1" t="inlineStr">
        <is>
          <t>Sum inkl. mva</t>
        </is>
      </c>
      <c r="J77" s="49" t="n"/>
      <c r="K77" s="48">
        <f>K75+K76</f>
        <v/>
      </c>
    </row>
    <row r="78" ht="19.5" customHeight="1"/>
    <row r="79" ht="19.5" customHeight="1"/>
  </sheetData>
  <autoFilter ref="B13:L73"/>
  <mergeCells count="11">
    <mergeCell ref="D7:E7"/>
    <mergeCell ref="D10:E10"/>
    <mergeCell ref="I77:J77"/>
    <mergeCell ref="F10:G10"/>
    <mergeCell ref="I76:J76"/>
    <mergeCell ref="B7:C7"/>
    <mergeCell ref="B10:C10"/>
    <mergeCell ref="F7:G7"/>
    <mergeCell ref="I75:J75"/>
    <mergeCell ref="D76:D77"/>
    <mergeCell ref="C76:C77"/>
  </mergeCells>
  <dataValidations count="1">
    <dataValidation sqref="G14:H73 J14:J73" showDropDown="0" showInputMessage="0" showErrorMessage="1" allowBlank="1" error="Skriv inn et tall (0 eller større)." type="decimal" operator="greaterThanOrEqual">
      <formula1>0</formula1>
      <formula2>0</formula2>
    </dataValidation>
  </dataValidations>
  <pageMargins left="0.4" right="0.4" top="1" bottom="1" header="0.511811023622047" footer="0.5"/>
  <pageSetup orientation="landscape" paperSize="9" fitToHeight="0" horizontalDpi="300" verticalDpi="300"/>
  <headerFooter>
    <oddHeader/>
    <oddFooter>&amp;C&amp;"Arial,Regular"&amp;8 Side &amp;P av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2026-09-23T11:23:01Z</dcterms:created>
  <dcterms:modified xmlns:dcterms="http://purl.org/dc/terms/" xmlns:xsi="http://www.w3.org/2001/XMLSchema-instance" xsi:type="dcterms:W3CDTF">2026-09-29T10:58:07Z</dcterms:modified>
  <cp:lastModifiedBy>Even Johan Christiansen</cp:lastModifiedBy>
  <cp:revision>0</cp:revision>
</cp:coreProperties>
</file>